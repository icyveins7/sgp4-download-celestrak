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s\LIBRARY\Excel\"/>
    </mc:Choice>
  </mc:AlternateContent>
  <bookViews>
    <workbookView xWindow="94" yWindow="34" windowWidth="12360" windowHeight="10320" activeTab="1"/>
  </bookViews>
  <sheets>
    <sheet name="SGP4Main" sheetId="1" r:id="rId1"/>
    <sheet name="Single" sheetId="2" r:id="rId2"/>
    <sheet name="Multiple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L103" i="2" l="1"/>
  <c r="K103" i="2"/>
  <c r="J103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J15" i="2"/>
  <c r="J14" i="2"/>
  <c r="J13" i="2"/>
  <c r="J12" i="2"/>
  <c r="J11" i="2"/>
  <c r="J10" i="2"/>
  <c r="J9" i="2"/>
  <c r="J8" i="2"/>
  <c r="J7" i="2"/>
  <c r="J6" i="2"/>
  <c r="J5" i="2"/>
  <c r="J4" i="2"/>
  <c r="J3" i="2"/>
</calcChain>
</file>

<file path=xl/sharedStrings.xml><?xml version="1.0" encoding="utf-8"?>
<sst xmlns="http://schemas.openxmlformats.org/spreadsheetml/2006/main" count="45" uniqueCount="44">
  <si>
    <t>Input a TLE</t>
  </si>
  <si>
    <t>Line1</t>
  </si>
  <si>
    <t>Line2</t>
  </si>
  <si>
    <t>Read a TLE File</t>
  </si>
  <si>
    <t>FileName</t>
  </si>
  <si>
    <t>1 00005U 58002B   00179.78495062  .00000023  00000-0  28098-4 0  4753</t>
  </si>
  <si>
    <t>2 00005  34.2682 348.7242 1859667 331.7664  19.3264 10.82419157413667     0.00      4320.0        360.00</t>
  </si>
  <si>
    <t>Options</t>
  </si>
  <si>
    <t xml:space="preserve">        </t>
  </si>
  <si>
    <t>opsmode</t>
  </si>
  <si>
    <t>a</t>
  </si>
  <si>
    <t xml:space="preserve">afspc a, improved i </t>
  </si>
  <si>
    <t>typerun</t>
  </si>
  <si>
    <t>v</t>
  </si>
  <si>
    <t>typerun = 'c' compare 1 year of full satcat data</t>
  </si>
  <si>
    <t>typerun = 'v' verification run, requires modified elm file with</t>
  </si>
  <si>
    <t>typerun = 'm' maunual operation- either mfe, epoch, or dayof yr</t>
  </si>
  <si>
    <t>typeinput</t>
  </si>
  <si>
    <t>e</t>
  </si>
  <si>
    <t>input manually start and stop times</t>
  </si>
  <si>
    <t>start stop times entered with tle</t>
  </si>
  <si>
    <t>whichconst</t>
  </si>
  <si>
    <t>721 old wgs-72 values</t>
  </si>
  <si>
    <t>84 wgs-84 values</t>
  </si>
  <si>
    <t>72 wgs-72 values</t>
  </si>
  <si>
    <t>ro</t>
  </si>
  <si>
    <t>vo</t>
  </si>
  <si>
    <t>sgp4v56.tle</t>
  </si>
  <si>
    <t>xp (arcsec)</t>
  </si>
  <si>
    <t>yp (arcsec)</t>
  </si>
  <si>
    <t>DUT1 (sec)</t>
  </si>
  <si>
    <t>These dut1 xp yp values are good for 2 mar 09</t>
  </si>
  <si>
    <t>Int Latitude deg</t>
  </si>
  <si>
    <t>Int Longitude deg</t>
  </si>
  <si>
    <t>Int Altitude m</t>
  </si>
  <si>
    <t>results for satellite 5 from c++ code</t>
  </si>
  <si>
    <t>km</t>
  </si>
  <si>
    <t>deg</t>
  </si>
  <si>
    <t>for 27 jun 00 18:50:19.734</t>
  </si>
  <si>
    <t>for 2 mar 09</t>
  </si>
  <si>
    <t>m</t>
  </si>
  <si>
    <t>ECEF results</t>
  </si>
  <si>
    <t>TEME results</t>
  </si>
  <si>
    <t>MFE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</si>
</sst>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0"/>
      <name val="Arial"/>
    </font>
    <font>
      <sz val="8"/>
      <name val="Arial"/>
    </font>
    <font>
      <sz val="1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3" borderId="0" xfId="0" applyFill="1"/>
    <xf numFmtId="47" fontId="0" fillId="0" borderId="0" xfId="0" applyNumberFormat="1"/>
    <xf numFmtId="0" fontId="0" fillId="4" borderId="0" xfId="0" applyFill="1" applyAlignment="1">
      <alignment horizontal="center"/>
    </xf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0" xfId="0" applyFill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21771</xdr:rowOff>
        </xdr:from>
        <xdr:to>
          <xdr:col>6</xdr:col>
          <xdr:colOff>76200</xdr:colOff>
          <xdr:row>7</xdr:row>
          <xdr:rowOff>32657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81643</xdr:colOff>
          <xdr:row>10</xdr:row>
          <xdr:rowOff>81643</xdr:rowOff>
        </xdr:from>
        <xdr:to>
          <xdr:col>6</xdr:col>
          <xdr:colOff>81643</xdr:colOff>
          <xdr:row>12</xdr:row>
          <xdr:rowOff>92529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36"/>
  <sheetViews>
    <sheetView workbookViewId="0">
      <selection activeCell="D23" sqref="D23"/>
    </sheetView>
  </sheetViews>
  <sheetFormatPr defaultRowHeight="12.45"/>
  <cols>
    <col min="1" max="1" width="3.3046875" customWidth="1"/>
    <col min="2" max="2" width="14.84375" customWidth="1"/>
    <col min="3" max="3" width="9.53515625" customWidth="1"/>
    <col min="4" max="4" width="97.4609375" customWidth="1"/>
  </cols>
  <sheetData>
    <row r="2" spans="2:9">
      <c r="F2" t="s">
        <v>38</v>
      </c>
      <c r="I2" t="s">
        <v>39</v>
      </c>
    </row>
    <row r="3" spans="2:9">
      <c r="B3" t="s">
        <v>30</v>
      </c>
      <c r="C3" s="9">
        <v>0.2052764</v>
      </c>
      <c r="D3" t="s">
        <v>31</v>
      </c>
      <c r="F3" s="9">
        <v>0.2052764</v>
      </c>
      <c r="I3" s="6">
        <v>0.35920089999999999</v>
      </c>
    </row>
    <row r="4" spans="2:9">
      <c r="B4" t="s">
        <v>28</v>
      </c>
      <c r="C4" s="9">
        <v>0.108943</v>
      </c>
      <c r="F4" s="9">
        <v>0.108943</v>
      </c>
      <c r="I4" s="7">
        <v>-0.13473299999999999</v>
      </c>
    </row>
    <row r="5" spans="2:9">
      <c r="B5" t="s">
        <v>29</v>
      </c>
      <c r="C5" s="9">
        <v>0.28552499999999997</v>
      </c>
      <c r="D5" s="4" t="s">
        <v>0</v>
      </c>
      <c r="F5" s="9">
        <v>0.28552499999999997</v>
      </c>
      <c r="I5" s="6">
        <v>0.30321599999999999</v>
      </c>
    </row>
    <row r="6" spans="2:9">
      <c r="B6" t="s">
        <v>1</v>
      </c>
      <c r="D6" s="1" t="s">
        <v>5</v>
      </c>
    </row>
    <row r="7" spans="2:9">
      <c r="B7" t="s">
        <v>2</v>
      </c>
      <c r="D7" s="1" t="s">
        <v>6</v>
      </c>
    </row>
    <row r="8" spans="2:9">
      <c r="B8" t="s">
        <v>32</v>
      </c>
      <c r="C8" s="5">
        <v>-7.9066349999999996</v>
      </c>
      <c r="D8" t="s">
        <v>37</v>
      </c>
    </row>
    <row r="9" spans="2:9">
      <c r="B9" t="s">
        <v>33</v>
      </c>
      <c r="C9" s="5">
        <v>345.59750000000003</v>
      </c>
      <c r="D9" t="s">
        <v>37</v>
      </c>
    </row>
    <row r="10" spans="2:9">
      <c r="B10" t="s">
        <v>34</v>
      </c>
      <c r="C10" s="5">
        <v>5.6000000000000001E-2</v>
      </c>
      <c r="D10" t="s">
        <v>36</v>
      </c>
    </row>
    <row r="11" spans="2:9">
      <c r="D11" s="4" t="s">
        <v>3</v>
      </c>
    </row>
    <row r="12" spans="2:9">
      <c r="B12" t="s">
        <v>4</v>
      </c>
      <c r="D12" s="1" t="s">
        <v>27</v>
      </c>
    </row>
    <row r="15" spans="2:9">
      <c r="B15" t="s">
        <v>7</v>
      </c>
    </row>
    <row r="16" spans="2:9">
      <c r="B16" t="s">
        <v>9</v>
      </c>
      <c r="C16" s="2" t="s">
        <v>10</v>
      </c>
      <c r="D16" t="s">
        <v>11</v>
      </c>
    </row>
    <row r="18" spans="2:4">
      <c r="B18" t="s">
        <v>12</v>
      </c>
      <c r="C18" s="2" t="s">
        <v>13</v>
      </c>
      <c r="D18" t="s">
        <v>14</v>
      </c>
    </row>
    <row r="19" spans="2:4">
      <c r="D19" t="s">
        <v>15</v>
      </c>
    </row>
    <row r="20" spans="2:4">
      <c r="D20" t="s">
        <v>16</v>
      </c>
    </row>
    <row r="22" spans="2:4">
      <c r="B22" t="s">
        <v>17</v>
      </c>
      <c r="C22" s="2" t="s">
        <v>18</v>
      </c>
      <c r="D22" t="s">
        <v>20</v>
      </c>
    </row>
    <row r="23" spans="2:4">
      <c r="D23" t="s">
        <v>19</v>
      </c>
    </row>
    <row r="25" spans="2:4">
      <c r="B25" t="s">
        <v>21</v>
      </c>
      <c r="C25" s="2">
        <v>72</v>
      </c>
      <c r="D25" t="s">
        <v>24</v>
      </c>
    </row>
    <row r="26" spans="2:4">
      <c r="D26" t="s">
        <v>22</v>
      </c>
    </row>
    <row r="27" spans="2:4">
      <c r="D27" t="s">
        <v>23</v>
      </c>
    </row>
    <row r="28" spans="2:4">
      <c r="D28" t="s">
        <v>8</v>
      </c>
    </row>
    <row r="30" spans="2:4">
      <c r="B30" s="10"/>
    </row>
    <row r="36" spans="2:2">
      <c r="B36" s="10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81643</xdr:colOff>
                <xdr:row>10</xdr:row>
                <xdr:rowOff>81643</xdr:rowOff>
              </from>
              <to>
                <xdr:col>5</xdr:col>
                <xdr:colOff>647700</xdr:colOff>
                <xdr:row>12</xdr:row>
                <xdr:rowOff>108857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76200</xdr:colOff>
                <xdr:row>5</xdr:row>
                <xdr:rowOff>21771</xdr:rowOff>
              </from>
              <to>
                <xdr:col>5</xdr:col>
                <xdr:colOff>642257</xdr:colOff>
                <xdr:row>7</xdr:row>
                <xdr:rowOff>48986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15"/>
  <sheetViews>
    <sheetView tabSelected="1" workbookViewId="0">
      <selection activeCell="B2" sqref="B2"/>
    </sheetView>
  </sheetViews>
  <sheetFormatPr defaultRowHeight="12.45"/>
  <cols>
    <col min="1" max="1" width="7.53515625" customWidth="1"/>
    <col min="2" max="2" width="5" bestFit="1" customWidth="1"/>
    <col min="3" max="8" width="12.69140625" bestFit="1" customWidth="1"/>
    <col min="10" max="15" width="12.4609375" customWidth="1"/>
  </cols>
  <sheetData>
    <row r="1" spans="1:31">
      <c r="A1" s="8" t="s">
        <v>42</v>
      </c>
      <c r="B1" s="8"/>
    </row>
    <row r="2" spans="1:31">
      <c r="B2">
        <v>0</v>
      </c>
      <c r="D2" t="s">
        <v>25</v>
      </c>
      <c r="G2" t="s">
        <v>26</v>
      </c>
      <c r="O2" s="8" t="s">
        <v>35</v>
      </c>
      <c r="P2" s="8"/>
      <c r="Q2" s="8"/>
    </row>
    <row r="3" spans="1:31">
      <c r="B3">
        <v>0</v>
      </c>
      <c r="C3">
        <v>7022.4652926640538</v>
      </c>
      <c r="D3">
        <v>-1400.0829675536288</v>
      </c>
      <c r="E3">
        <v>3.9951554144811406E-2</v>
      </c>
      <c r="F3">
        <v>1.893841014513032</v>
      </c>
      <c r="G3">
        <v>6.4058937592098228</v>
      </c>
      <c r="H3">
        <v>4.5348072503547314</v>
      </c>
      <c r="J3">
        <f>C3-O3</f>
        <v>4.0536178858019412E-9</v>
      </c>
      <c r="K3">
        <f t="shared" ref="K3:K15" si="0">D3-P3</f>
        <v>-3.6288838600739837E-9</v>
      </c>
      <c r="L3">
        <f t="shared" ref="L3:L15" si="1">E3-Q3</f>
        <v>4.1448114038167283E-9</v>
      </c>
      <c r="N3">
        <v>0</v>
      </c>
      <c r="O3">
        <v>7022.4652926600002</v>
      </c>
      <c r="P3">
        <v>-1400.0829675499999</v>
      </c>
      <c r="Q3">
        <v>3.9951550000000002E-2</v>
      </c>
      <c r="R3">
        <v>1.893841015</v>
      </c>
      <c r="S3">
        <v>6.4058937589999996</v>
      </c>
      <c r="T3">
        <v>4.5348072500000001</v>
      </c>
    </row>
    <row r="4" spans="1:31">
      <c r="B4">
        <v>360</v>
      </c>
      <c r="C4">
        <v>-7154.0312020157808</v>
      </c>
      <c r="D4">
        <v>-3783.1768250364703</v>
      </c>
      <c r="E4">
        <v>-3536.1941229421827</v>
      </c>
      <c r="F4">
        <v>4.7418874089960861</v>
      </c>
      <c r="G4">
        <v>-4.1518177653737558</v>
      </c>
      <c r="H4">
        <v>-2.0939354249073925</v>
      </c>
      <c r="J4">
        <f t="shared" ref="J4:J15" si="2">C4-O4</f>
        <v>4.2191459215246141E-9</v>
      </c>
      <c r="K4">
        <f t="shared" si="0"/>
        <v>3.5297489375807345E-9</v>
      </c>
      <c r="L4">
        <f t="shared" si="1"/>
        <v>-2.1827872842550278E-9</v>
      </c>
      <c r="N4">
        <v>360</v>
      </c>
      <c r="O4">
        <v>-7154.0312020199999</v>
      </c>
      <c r="P4">
        <v>-3783.17682504</v>
      </c>
      <c r="Q4">
        <v>-3536.1941229399999</v>
      </c>
      <c r="R4">
        <v>4.7418874090000003</v>
      </c>
      <c r="S4">
        <v>-4.1518177649999997</v>
      </c>
      <c r="T4">
        <v>-2.0939354250000002</v>
      </c>
      <c r="U4">
        <v>8635.3414240000002</v>
      </c>
      <c r="V4">
        <v>0.18568399999999999</v>
      </c>
      <c r="W4">
        <v>34.268050000000002</v>
      </c>
      <c r="X4">
        <v>347.97998000000001</v>
      </c>
      <c r="Y4">
        <v>332.85746</v>
      </c>
      <c r="Z4">
        <v>252.46796000000001</v>
      </c>
      <c r="AA4">
        <v>273.52819</v>
      </c>
      <c r="AB4">
        <v>2000</v>
      </c>
      <c r="AC4">
        <v>6</v>
      </c>
      <c r="AD4">
        <v>28</v>
      </c>
      <c r="AE4" s="3">
        <v>3.4950624999999999E-2</v>
      </c>
    </row>
    <row r="5" spans="1:31">
      <c r="B5">
        <v>720</v>
      </c>
      <c r="C5">
        <v>-7134.5934011931367</v>
      </c>
      <c r="D5">
        <v>6531.6864133365316</v>
      </c>
      <c r="E5">
        <v>3260.2718648255996</v>
      </c>
      <c r="F5">
        <v>-4.1137930271613206</v>
      </c>
      <c r="G5">
        <v>-2.9119220386229188</v>
      </c>
      <c r="H5">
        <v>-2.5573278509305362</v>
      </c>
      <c r="J5">
        <f t="shared" si="2"/>
        <v>-3.1368472264148295E-9</v>
      </c>
      <c r="K5">
        <f t="shared" si="0"/>
        <v>-3.4688127925619483E-9</v>
      </c>
      <c r="L5">
        <f t="shared" si="1"/>
        <v>-4.4005901145283133E-9</v>
      </c>
      <c r="N5">
        <v>720</v>
      </c>
      <c r="O5">
        <v>-7134.5934011899999</v>
      </c>
      <c r="P5">
        <v>6531.6864133400004</v>
      </c>
      <c r="Q5">
        <v>3260.2718648300001</v>
      </c>
      <c r="R5">
        <v>-4.1137930269999998</v>
      </c>
      <c r="S5">
        <v>-2.9119220389999998</v>
      </c>
      <c r="T5">
        <v>-2.5573278510000002</v>
      </c>
      <c r="U5">
        <v>8635.8615900000004</v>
      </c>
      <c r="V5">
        <v>0.185142</v>
      </c>
      <c r="W5">
        <v>34.272709999999996</v>
      </c>
      <c r="X5">
        <v>347.16975000000002</v>
      </c>
      <c r="Y5">
        <v>334.22005000000001</v>
      </c>
      <c r="Z5">
        <v>171.22619</v>
      </c>
      <c r="AA5">
        <v>167.48204000000001</v>
      </c>
      <c r="AB5">
        <v>2000</v>
      </c>
      <c r="AC5">
        <v>6</v>
      </c>
      <c r="AD5">
        <v>28</v>
      </c>
      <c r="AE5" s="3">
        <v>0.28495062500000001</v>
      </c>
    </row>
    <row r="6" spans="1:31">
      <c r="B6">
        <v>1080</v>
      </c>
      <c r="C6">
        <v>5568.5390118120495</v>
      </c>
      <c r="D6">
        <v>4492.0699259055045</v>
      </c>
      <c r="E6">
        <v>3863.8764198290919</v>
      </c>
      <c r="F6">
        <v>-4.2091064755932948</v>
      </c>
      <c r="G6">
        <v>5.1597198884795503</v>
      </c>
      <c r="H6">
        <v>2.744852979554687</v>
      </c>
      <c r="J6">
        <f t="shared" si="2"/>
        <v>2.0490915630944073E-9</v>
      </c>
      <c r="K6">
        <f t="shared" si="0"/>
        <v>-4.4956323108635843E-9</v>
      </c>
      <c r="L6">
        <f t="shared" si="1"/>
        <v>-9.0813045972026885E-10</v>
      </c>
      <c r="N6">
        <v>1080</v>
      </c>
      <c r="O6">
        <v>5568.5390118100004</v>
      </c>
      <c r="P6">
        <v>4492.0699259100002</v>
      </c>
      <c r="Q6">
        <v>3863.87641983</v>
      </c>
      <c r="R6">
        <v>-4.2091064759999997</v>
      </c>
      <c r="S6">
        <v>5.1597198879999997</v>
      </c>
      <c r="T6">
        <v>2.7448529800000001</v>
      </c>
      <c r="U6">
        <v>8633.6149929999992</v>
      </c>
      <c r="V6">
        <v>0.185699</v>
      </c>
      <c r="W6">
        <v>34.262810000000002</v>
      </c>
      <c r="X6">
        <v>346.44441999999998</v>
      </c>
      <c r="Y6">
        <v>335.36005999999998</v>
      </c>
      <c r="Z6">
        <v>82.209919999999997</v>
      </c>
      <c r="AA6">
        <v>61.634540000000001</v>
      </c>
      <c r="AB6">
        <v>2000</v>
      </c>
      <c r="AC6">
        <v>6</v>
      </c>
      <c r="AD6">
        <v>28</v>
      </c>
      <c r="AE6" s="3">
        <v>0.53495062500000001</v>
      </c>
    </row>
    <row r="7" spans="1:31">
      <c r="B7">
        <v>1440</v>
      </c>
      <c r="C7">
        <v>-938.55923942941467</v>
      </c>
      <c r="D7">
        <v>-6268.187488313929</v>
      </c>
      <c r="E7">
        <v>-4294.0292475116239</v>
      </c>
      <c r="F7">
        <v>7.5361052092560907</v>
      </c>
      <c r="G7">
        <v>-0.42712770712359033</v>
      </c>
      <c r="H7">
        <v>0.98987807955913587</v>
      </c>
      <c r="J7">
        <f t="shared" si="2"/>
        <v>5.8537352742860094E-10</v>
      </c>
      <c r="K7">
        <f t="shared" si="0"/>
        <v>-3.92901711165905E-9</v>
      </c>
      <c r="L7">
        <f t="shared" si="1"/>
        <v>-1.6243575373664498E-9</v>
      </c>
      <c r="N7">
        <v>1440</v>
      </c>
      <c r="O7">
        <v>-938.55923943000005</v>
      </c>
      <c r="P7">
        <v>-6268.1874883099999</v>
      </c>
      <c r="Q7">
        <v>-4294.0292475099995</v>
      </c>
      <c r="R7">
        <v>7.5361052089999996</v>
      </c>
      <c r="S7">
        <v>-0.42712770700000002</v>
      </c>
      <c r="T7">
        <v>0.98987807999999999</v>
      </c>
      <c r="U7">
        <v>8632.0984910000006</v>
      </c>
      <c r="V7">
        <v>0.18580099999999999</v>
      </c>
      <c r="W7">
        <v>34.255710000000001</v>
      </c>
      <c r="X7">
        <v>345.65357</v>
      </c>
      <c r="Y7">
        <v>336.33936999999997</v>
      </c>
      <c r="Z7">
        <v>298.48507000000001</v>
      </c>
      <c r="AA7">
        <v>315.94715000000002</v>
      </c>
      <c r="AB7">
        <v>2000</v>
      </c>
      <c r="AC7">
        <v>6</v>
      </c>
      <c r="AD7">
        <v>28</v>
      </c>
      <c r="AE7" s="3">
        <v>0.78495062500000001</v>
      </c>
    </row>
    <row r="8" spans="1:31">
      <c r="B8">
        <v>1800</v>
      </c>
      <c r="C8">
        <v>-9680.5612172813162</v>
      </c>
      <c r="D8">
        <v>2802.4777135391469</v>
      </c>
      <c r="E8">
        <v>124.10688038249671</v>
      </c>
      <c r="F8">
        <v>-0.90587410215919351</v>
      </c>
      <c r="G8">
        <v>-4.6594679699195627</v>
      </c>
      <c r="H8">
        <v>-3.2273475167127179</v>
      </c>
      <c r="J8">
        <f t="shared" si="2"/>
        <v>-1.3169483281672001E-9</v>
      </c>
      <c r="K8">
        <f t="shared" si="0"/>
        <v>-8.5310603026300669E-10</v>
      </c>
      <c r="L8">
        <f t="shared" si="1"/>
        <v>2.49670506491384E-9</v>
      </c>
      <c r="N8">
        <v>1800</v>
      </c>
      <c r="O8">
        <v>-9680.5612172799993</v>
      </c>
      <c r="P8">
        <v>2802.47771354</v>
      </c>
      <c r="Q8">
        <v>124.10688038000001</v>
      </c>
      <c r="R8">
        <v>-0.90587410199999996</v>
      </c>
      <c r="S8">
        <v>-4.6594679699999997</v>
      </c>
      <c r="T8">
        <v>-3.2273475170000001</v>
      </c>
      <c r="U8">
        <v>8637.1223320000008</v>
      </c>
      <c r="V8">
        <v>0.18506400000000001</v>
      </c>
      <c r="W8">
        <v>34.280859999999997</v>
      </c>
      <c r="X8">
        <v>344.88963999999999</v>
      </c>
      <c r="Y8">
        <v>337.42106000000001</v>
      </c>
      <c r="Z8">
        <v>201.32625999999999</v>
      </c>
      <c r="AA8">
        <v>210.16351</v>
      </c>
      <c r="AB8">
        <v>2000</v>
      </c>
      <c r="AC8">
        <v>6</v>
      </c>
      <c r="AD8">
        <v>29</v>
      </c>
      <c r="AE8" s="3">
        <v>3.4950624999999999E-2</v>
      </c>
    </row>
    <row r="9" spans="1:31">
      <c r="B9">
        <v>2160</v>
      </c>
      <c r="C9">
        <v>190.19796987847823</v>
      </c>
      <c r="D9">
        <v>7746.9665361353091</v>
      </c>
      <c r="E9">
        <v>5110.0067541186691</v>
      </c>
      <c r="F9">
        <v>-6.1123251420138205</v>
      </c>
      <c r="G9">
        <v>1.5270081835204463</v>
      </c>
      <c r="H9">
        <v>-0.13915235788259175</v>
      </c>
      <c r="J9">
        <f t="shared" si="2"/>
        <v>-1.5217551663226914E-9</v>
      </c>
      <c r="K9">
        <f t="shared" si="0"/>
        <v>-4.6911736717447639E-9</v>
      </c>
      <c r="L9">
        <f t="shared" si="1"/>
        <v>-1.330590748693794E-9</v>
      </c>
      <c r="N9">
        <v>2160</v>
      </c>
      <c r="O9">
        <v>190.19796987999999</v>
      </c>
      <c r="P9">
        <v>7746.9665361400002</v>
      </c>
      <c r="Q9">
        <v>5110.0067541199996</v>
      </c>
      <c r="R9">
        <v>-6.1123251420000004</v>
      </c>
      <c r="S9">
        <v>1.527008184</v>
      </c>
      <c r="T9">
        <v>-0.139152358</v>
      </c>
      <c r="U9">
        <v>8633.131437</v>
      </c>
      <c r="V9">
        <v>0.185639</v>
      </c>
      <c r="W9">
        <v>34.256630000000001</v>
      </c>
      <c r="X9">
        <v>344.11473000000001</v>
      </c>
      <c r="Y9">
        <v>338.71746999999999</v>
      </c>
      <c r="Z9">
        <v>123.33032</v>
      </c>
      <c r="AA9">
        <v>104.1764</v>
      </c>
      <c r="AB9">
        <v>2000</v>
      </c>
      <c r="AC9">
        <v>6</v>
      </c>
      <c r="AD9">
        <v>29</v>
      </c>
      <c r="AE9" s="3">
        <v>0.28495062500000001</v>
      </c>
    </row>
    <row r="10" spans="1:31">
      <c r="B10">
        <v>2520</v>
      </c>
      <c r="C10">
        <v>5579.5564011573761</v>
      </c>
      <c r="D10">
        <v>-3995.6139678942723</v>
      </c>
      <c r="E10">
        <v>-1518.8210896602941</v>
      </c>
      <c r="F10">
        <v>4.7679274828438611</v>
      </c>
      <c r="G10">
        <v>5.1231853009539599</v>
      </c>
      <c r="H10">
        <v>4.2768373545016676</v>
      </c>
      <c r="J10">
        <f t="shared" si="2"/>
        <v>-2.623892214614898E-9</v>
      </c>
      <c r="K10">
        <f t="shared" si="0"/>
        <v>-4.2723513615783304E-9</v>
      </c>
      <c r="L10">
        <f t="shared" si="1"/>
        <v>-2.9399416234809905E-10</v>
      </c>
      <c r="N10">
        <v>2520</v>
      </c>
      <c r="O10">
        <v>5579.55640116</v>
      </c>
      <c r="P10">
        <v>-3995.6139678899999</v>
      </c>
      <c r="Q10">
        <v>-1518.8210896600001</v>
      </c>
      <c r="R10">
        <v>4.7679274830000002</v>
      </c>
      <c r="S10">
        <v>5.1231853010000004</v>
      </c>
      <c r="T10">
        <v>4.2768373549999996</v>
      </c>
      <c r="U10">
        <v>8637.3025280000002</v>
      </c>
      <c r="V10">
        <v>0.186337</v>
      </c>
      <c r="W10">
        <v>34.277140000000003</v>
      </c>
      <c r="X10">
        <v>343.34125</v>
      </c>
      <c r="Y10">
        <v>339.73610000000002</v>
      </c>
      <c r="Z10">
        <v>357.70206999999999</v>
      </c>
      <c r="AA10">
        <v>358.45141000000001</v>
      </c>
      <c r="AB10">
        <v>2000</v>
      </c>
      <c r="AC10">
        <v>6</v>
      </c>
      <c r="AD10">
        <v>29</v>
      </c>
      <c r="AE10" s="3">
        <v>0.53495062500000001</v>
      </c>
    </row>
    <row r="11" spans="1:31">
      <c r="B11">
        <v>2880</v>
      </c>
      <c r="C11">
        <v>-8650.7308221895019</v>
      </c>
      <c r="D11">
        <v>-1914.938115251837</v>
      </c>
      <c r="E11">
        <v>-3007.0360344280766</v>
      </c>
      <c r="F11">
        <v>3.067165126542728</v>
      </c>
      <c r="G11">
        <v>-4.828384068443655</v>
      </c>
      <c r="H11">
        <v>-2.5153228357217929</v>
      </c>
      <c r="J11">
        <f t="shared" si="2"/>
        <v>4.9840309657156467E-10</v>
      </c>
      <c r="K11">
        <f t="shared" si="0"/>
        <v>-1.8369519239058718E-9</v>
      </c>
      <c r="L11">
        <f t="shared" si="1"/>
        <v>1.9235812942497432E-9</v>
      </c>
      <c r="N11">
        <v>2880</v>
      </c>
      <c r="O11">
        <v>-8650.7308221900003</v>
      </c>
      <c r="P11">
        <v>-1914.93811525</v>
      </c>
      <c r="Q11">
        <v>-3007.0360344300002</v>
      </c>
      <c r="R11">
        <v>3.067165127</v>
      </c>
      <c r="S11">
        <v>-4.8283840680000001</v>
      </c>
      <c r="T11">
        <v>-2.5153228360000002</v>
      </c>
      <c r="U11">
        <v>8636.1012549999996</v>
      </c>
      <c r="V11">
        <v>0.18553800000000001</v>
      </c>
      <c r="W11">
        <v>34.27261</v>
      </c>
      <c r="X11">
        <v>342.61158</v>
      </c>
      <c r="Y11">
        <v>340.69038</v>
      </c>
      <c r="Z11">
        <v>234.10932</v>
      </c>
      <c r="AA11">
        <v>252.77706000000001</v>
      </c>
      <c r="AB11">
        <v>2000</v>
      </c>
      <c r="AC11">
        <v>6</v>
      </c>
      <c r="AD11">
        <v>29</v>
      </c>
      <c r="AE11" s="3">
        <v>0.78495062500000001</v>
      </c>
    </row>
    <row r="12" spans="1:31">
      <c r="B12">
        <v>3240</v>
      </c>
      <c r="C12">
        <v>-5429.7920416444313</v>
      </c>
      <c r="D12">
        <v>7574.3649379243789</v>
      </c>
      <c r="E12">
        <v>3747.3930523588888</v>
      </c>
      <c r="F12">
        <v>-4.9994421096040513</v>
      </c>
      <c r="G12">
        <v>-1.8005614223049087</v>
      </c>
      <c r="H12">
        <v>-2.229392830240859</v>
      </c>
      <c r="J12">
        <f t="shared" si="2"/>
        <v>-4.4310581870377064E-9</v>
      </c>
      <c r="K12">
        <f t="shared" si="0"/>
        <v>4.3792169890366495E-9</v>
      </c>
      <c r="L12">
        <f t="shared" si="1"/>
        <v>-1.1114025255665183E-9</v>
      </c>
      <c r="N12">
        <v>3240</v>
      </c>
      <c r="O12">
        <v>-5429.7920416400002</v>
      </c>
      <c r="P12">
        <v>7574.3649379199996</v>
      </c>
      <c r="Q12">
        <v>3747.3930523600002</v>
      </c>
      <c r="R12">
        <v>-4.9994421100000004</v>
      </c>
      <c r="S12">
        <v>-1.8005614219999999</v>
      </c>
      <c r="T12">
        <v>-2.2293928300000001</v>
      </c>
      <c r="U12">
        <v>8635.4753380000002</v>
      </c>
      <c r="V12">
        <v>0.185331</v>
      </c>
      <c r="W12">
        <v>34.269739999999999</v>
      </c>
      <c r="X12">
        <v>341.80144000000001</v>
      </c>
      <c r="Y12">
        <v>342.10905000000002</v>
      </c>
      <c r="Z12">
        <v>156.39691999999999</v>
      </c>
      <c r="AA12">
        <v>146.67615000000001</v>
      </c>
      <c r="AB12">
        <v>2000</v>
      </c>
      <c r="AC12">
        <v>6</v>
      </c>
      <c r="AD12">
        <v>30</v>
      </c>
      <c r="AE12" s="3">
        <v>3.4950624999999999E-2</v>
      </c>
    </row>
    <row r="13" spans="1:31">
      <c r="B13">
        <v>3600</v>
      </c>
      <c r="C13">
        <v>6759.0458372178937</v>
      </c>
      <c r="D13">
        <v>2001.5819821967234</v>
      </c>
      <c r="E13">
        <v>2783.5519253292809</v>
      </c>
      <c r="F13">
        <v>-2.1809939471767597</v>
      </c>
      <c r="G13">
        <v>6.402085603047075</v>
      </c>
      <c r="H13">
        <v>3.6447239516048353</v>
      </c>
      <c r="J13">
        <f t="shared" si="2"/>
        <v>-2.1063897293061018E-9</v>
      </c>
      <c r="K13">
        <f t="shared" si="0"/>
        <v>-3.2766820368124172E-9</v>
      </c>
      <c r="L13">
        <f t="shared" si="1"/>
        <v>-7.1895556175149977E-10</v>
      </c>
      <c r="N13">
        <v>3600</v>
      </c>
      <c r="O13">
        <v>6759.0458372200001</v>
      </c>
      <c r="P13">
        <v>2001.5819822000001</v>
      </c>
      <c r="Q13">
        <v>2783.5519253299999</v>
      </c>
      <c r="R13">
        <v>-2.1809939470000002</v>
      </c>
      <c r="S13">
        <v>6.4020856029999997</v>
      </c>
      <c r="T13">
        <v>3.6447239520000001</v>
      </c>
      <c r="U13">
        <v>8635.1955340000004</v>
      </c>
      <c r="V13">
        <v>0.185973</v>
      </c>
      <c r="W13">
        <v>34.27008</v>
      </c>
      <c r="X13">
        <v>341.07931000000002</v>
      </c>
      <c r="Y13">
        <v>343.22922999999997</v>
      </c>
      <c r="Z13">
        <v>57.482190000000003</v>
      </c>
      <c r="AA13">
        <v>40.843710000000002</v>
      </c>
      <c r="AB13">
        <v>2000</v>
      </c>
      <c r="AC13">
        <v>6</v>
      </c>
      <c r="AD13">
        <v>30</v>
      </c>
      <c r="AE13" s="3">
        <v>0.28495062500000001</v>
      </c>
    </row>
    <row r="14" spans="1:31">
      <c r="B14">
        <v>3960</v>
      </c>
      <c r="C14">
        <v>-3791.4453155894062</v>
      </c>
      <c r="D14">
        <v>-5712.9561789390891</v>
      </c>
      <c r="E14">
        <v>-4533.4863071437221</v>
      </c>
      <c r="F14">
        <v>6.6688174925476273</v>
      </c>
      <c r="G14">
        <v>-2.5163823265273755</v>
      </c>
      <c r="H14">
        <v>-8.2384353747236086E-2</v>
      </c>
      <c r="J14">
        <f t="shared" si="2"/>
        <v>5.9390004025772214E-10</v>
      </c>
      <c r="K14">
        <f t="shared" si="0"/>
        <v>9.1131369117647409E-10</v>
      </c>
      <c r="L14">
        <f t="shared" si="1"/>
        <v>-3.7225618143565953E-9</v>
      </c>
      <c r="N14">
        <v>3960</v>
      </c>
      <c r="O14">
        <v>-3791.4453155900001</v>
      </c>
      <c r="P14">
        <v>-5712.9561789400004</v>
      </c>
      <c r="Q14">
        <v>-4533.4863071399996</v>
      </c>
      <c r="R14">
        <v>6.6688174929999997</v>
      </c>
      <c r="S14">
        <v>-2.5163823270000001</v>
      </c>
      <c r="T14">
        <v>-8.2384354000000007E-2</v>
      </c>
      <c r="U14">
        <v>8632.7297529999996</v>
      </c>
      <c r="V14">
        <v>0.18585399999999999</v>
      </c>
      <c r="W14">
        <v>34.256540000000001</v>
      </c>
      <c r="X14">
        <v>340.29915</v>
      </c>
      <c r="Y14">
        <v>344.15875</v>
      </c>
      <c r="Z14">
        <v>274.30669999999998</v>
      </c>
      <c r="AA14">
        <v>295.20326999999997</v>
      </c>
      <c r="AB14">
        <v>2000</v>
      </c>
      <c r="AC14">
        <v>6</v>
      </c>
      <c r="AD14">
        <v>30</v>
      </c>
      <c r="AE14" s="3">
        <v>0.53495062500000001</v>
      </c>
    </row>
    <row r="15" spans="1:31">
      <c r="B15">
        <v>4320</v>
      </c>
      <c r="C15">
        <v>-9060.4737356942769</v>
      </c>
      <c r="D15">
        <v>4658.7095250229522</v>
      </c>
      <c r="E15">
        <v>813.68673153431928</v>
      </c>
      <c r="F15">
        <v>-2.2328327827427366</v>
      </c>
      <c r="G15">
        <v>-4.1104534899368961</v>
      </c>
      <c r="H15">
        <v>-3.1573454334573512</v>
      </c>
      <c r="J15">
        <f t="shared" si="2"/>
        <v>-4.2764440877363086E-9</v>
      </c>
      <c r="K15">
        <f t="shared" si="0"/>
        <v>2.9522198019549251E-9</v>
      </c>
      <c r="L15">
        <f t="shared" si="1"/>
        <v>4.3193040255573578E-9</v>
      </c>
      <c r="N15">
        <v>4320</v>
      </c>
      <c r="O15">
        <v>-9060.4737356900005</v>
      </c>
      <c r="P15">
        <v>4658.70952502</v>
      </c>
      <c r="Q15">
        <v>813.68673152999997</v>
      </c>
      <c r="R15">
        <v>-2.2328327830000001</v>
      </c>
      <c r="S15">
        <v>-4.1104534900000003</v>
      </c>
      <c r="T15">
        <v>-3.1573454330000001</v>
      </c>
      <c r="U15">
        <v>8637.0061220000007</v>
      </c>
      <c r="V15">
        <v>0.18507999999999999</v>
      </c>
      <c r="W15">
        <v>34.280360000000002</v>
      </c>
      <c r="X15">
        <v>339.51733000000002</v>
      </c>
      <c r="Y15">
        <v>345.34017999999998</v>
      </c>
      <c r="Z15">
        <v>186.53394</v>
      </c>
      <c r="AA15">
        <v>189.32849999999999</v>
      </c>
      <c r="AB15">
        <v>2000</v>
      </c>
      <c r="AC15">
        <v>6</v>
      </c>
      <c r="AD15">
        <v>30</v>
      </c>
      <c r="AE15" s="3">
        <v>0.78495062500000001</v>
      </c>
    </row>
    <row r="100" spans="1:20">
      <c r="A100" s="8" t="s">
        <v>41</v>
      </c>
      <c r="B100" s="8"/>
    </row>
    <row r="102" spans="1:20">
      <c r="B102" t="s">
        <v>43</v>
      </c>
    </row>
    <row r="103" spans="1:20">
      <c r="B103">
        <v>0</v>
      </c>
      <c r="C103">
        <v>-6135.9141014083561</v>
      </c>
      <c r="D103">
        <v>3691.3153811941629</v>
      </c>
      <c r="E103">
        <v>3.1600988939353487E-2</v>
      </c>
      <c r="F103">
        <v>-3.9476102563121556</v>
      </c>
      <c r="G103">
        <v>-5.3887320552077824</v>
      </c>
      <c r="H103">
        <v>4.5348126247773619</v>
      </c>
      <c r="J103">
        <f>C103-O103</f>
        <v>62.592857737643499</v>
      </c>
      <c r="K103">
        <f>D103-P103</f>
        <v>106.10041958716283</v>
      </c>
      <c r="L103">
        <f>E103-Q103</f>
        <v>-1.8125050060646512E-2</v>
      </c>
      <c r="M103" t="s">
        <v>40</v>
      </c>
      <c r="O103">
        <v>-6198.5069591459996</v>
      </c>
      <c r="P103">
        <v>3585.2149616070001</v>
      </c>
      <c r="Q103">
        <v>4.9726039E-2</v>
      </c>
      <c r="R103">
        <v>-3.5928818013999999</v>
      </c>
      <c r="S103">
        <v>-5.0038542249000004</v>
      </c>
      <c r="T103">
        <v>4.5348020363000003</v>
      </c>
    </row>
    <row r="104" spans="1:20">
      <c r="B104">
        <v>360</v>
      </c>
      <c r="C104">
        <v>8011.7116193272732</v>
      </c>
      <c r="D104">
        <v>1142.4031690203276</v>
      </c>
      <c r="E104">
        <v>-3536.1914727836634</v>
      </c>
      <c r="F104">
        <v>-3.0594579287688179</v>
      </c>
      <c r="G104">
        <v>5.5102418665325601</v>
      </c>
      <c r="H104">
        <v>-2.0939446684562211</v>
      </c>
    </row>
    <row r="105" spans="1:20">
      <c r="B105">
        <v>720</v>
      </c>
      <c r="C105">
        <v>4506.9280341705935</v>
      </c>
      <c r="D105">
        <v>-8558.78830924465</v>
      </c>
      <c r="E105">
        <v>3260.2860928807113</v>
      </c>
      <c r="F105">
        <v>4.8559199891196192</v>
      </c>
      <c r="G105">
        <v>1.3500472762256535</v>
      </c>
      <c r="H105">
        <v>-2.5573271550015191</v>
      </c>
    </row>
    <row r="106" spans="1:20">
      <c r="B106">
        <v>1080</v>
      </c>
      <c r="C106">
        <v>-6759.1455932161025</v>
      </c>
      <c r="D106">
        <v>-2345.4791179473868</v>
      </c>
      <c r="E106">
        <v>3863.8760966144841</v>
      </c>
      <c r="F106">
        <v>2.2173570205623396</v>
      </c>
      <c r="G106">
        <v>-6.2787387548023954</v>
      </c>
      <c r="H106">
        <v>2.744862842134093</v>
      </c>
    </row>
    <row r="107" spans="1:20">
      <c r="B107">
        <v>1440</v>
      </c>
      <c r="C107">
        <v>3002.0069266502446</v>
      </c>
      <c r="D107">
        <v>5582.021990636481</v>
      </c>
      <c r="E107">
        <v>-4294.0353889381886</v>
      </c>
      <c r="F107">
        <v>-6.9481884855606371</v>
      </c>
      <c r="G107">
        <v>2.9492392103731677</v>
      </c>
      <c r="H107">
        <v>0.98987032720511714</v>
      </c>
    </row>
    <row r="108" spans="1:20">
      <c r="B108">
        <v>1800</v>
      </c>
      <c r="C108">
        <v>8163.5469797608994</v>
      </c>
      <c r="D108">
        <v>-5909.623035757284</v>
      </c>
      <c r="E108">
        <v>124.11937260785926</v>
      </c>
      <c r="F108">
        <v>2.4274880071467586</v>
      </c>
      <c r="G108">
        <v>4.0790346230866854</v>
      </c>
      <c r="H108">
        <v>-3.2273518810503954</v>
      </c>
    </row>
    <row r="109" spans="1:20">
      <c r="B109">
        <v>2160</v>
      </c>
      <c r="C109">
        <v>-2797.5279589405518</v>
      </c>
      <c r="D109">
        <v>-7226.7154338317823</v>
      </c>
      <c r="E109">
        <v>5110.0152802362581</v>
      </c>
      <c r="F109">
        <v>5.2364398003018007</v>
      </c>
      <c r="G109">
        <v>-3.5031375895446559</v>
      </c>
      <c r="H109">
        <v>-0.13914474288118411</v>
      </c>
    </row>
    <row r="110" spans="1:20">
      <c r="B110">
        <v>2520</v>
      </c>
      <c r="C110">
        <v>-3900.6231536312234</v>
      </c>
      <c r="D110">
        <v>5646.3695970801846</v>
      </c>
      <c r="E110">
        <v>-1518.830965923959</v>
      </c>
      <c r="F110">
        <v>-6.218975944198994</v>
      </c>
      <c r="G110">
        <v>-3.2100604982174907</v>
      </c>
      <c r="H110">
        <v>4.2768385133983307</v>
      </c>
    </row>
    <row r="111" spans="1:20">
      <c r="B111">
        <v>2880</v>
      </c>
      <c r="C111">
        <v>8788.8451150315686</v>
      </c>
      <c r="D111">
        <v>-1121.7711635390328</v>
      </c>
      <c r="E111">
        <v>-3007.0298395943223</v>
      </c>
      <c r="F111">
        <v>-1.2546194798941963</v>
      </c>
      <c r="G111">
        <v>5.580921284948535</v>
      </c>
      <c r="H111">
        <v>-2.5153312238475269</v>
      </c>
    </row>
    <row r="112" spans="1:20">
      <c r="B112">
        <v>3240</v>
      </c>
      <c r="C112">
        <v>2550.0326620463075</v>
      </c>
      <c r="D112">
        <v>-8963.8650234305733</v>
      </c>
      <c r="E112">
        <v>3747.406807573213</v>
      </c>
      <c r="F112">
        <v>5.3137964615248636</v>
      </c>
      <c r="G112">
        <v>4.7426740127302532E-3</v>
      </c>
      <c r="H112">
        <v>-2.2293900302175214</v>
      </c>
    </row>
    <row r="113" spans="2:8">
      <c r="B113">
        <v>3600</v>
      </c>
      <c r="C113">
        <v>-7037.7832974210705</v>
      </c>
      <c r="D113">
        <v>400.82552592358377</v>
      </c>
      <c r="E113">
        <v>2783.5476533338792</v>
      </c>
      <c r="F113">
        <v>-0.11131639461688067</v>
      </c>
      <c r="G113">
        <v>-6.7624681528476716</v>
      </c>
      <c r="H113">
        <v>3.6447332538577859</v>
      </c>
    </row>
    <row r="114" spans="2:8">
      <c r="B114">
        <v>3960</v>
      </c>
      <c r="C114">
        <v>5499.3119376611012</v>
      </c>
      <c r="D114">
        <v>4095.176312763243</v>
      </c>
      <c r="E114">
        <v>-4533.4890713802051</v>
      </c>
      <c r="F114">
        <v>-5.4257646334487104</v>
      </c>
      <c r="G114">
        <v>4.6223785411873664</v>
      </c>
      <c r="H114">
        <v>-8.2393618069942678E-2</v>
      </c>
    </row>
    <row r="115" spans="2:8">
      <c r="B115">
        <v>4320</v>
      </c>
      <c r="C115">
        <v>6952.5374518123463</v>
      </c>
      <c r="D115">
        <v>-7447.010070006927</v>
      </c>
      <c r="E115">
        <v>813.70071229077757</v>
      </c>
      <c r="F115">
        <v>3.4907768665568799</v>
      </c>
      <c r="G115">
        <v>3.1138130034734974</v>
      </c>
      <c r="H115">
        <v>-3.1573479000752767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3" sqref="I3"/>
    </sheetView>
  </sheetViews>
  <sheetFormatPr defaultRowHeight="12.4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SGP4Main</vt:lpstr>
      <vt:lpstr>Single</vt:lpstr>
      <vt:lpstr>Multiple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Vallado, David</dc:creator>
  <cp:lastModifiedBy>Vallado, David</cp:lastModifiedBy>
  <dcterms:created xsi:type="dcterms:W3CDTF">2009-02-09T16:41:33Z</dcterms:created>
  <dcterms:modified xsi:type="dcterms:W3CDTF">2020-04-06T11:26:50Z</dcterms:modified>
</cp:coreProperties>
</file>